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<sst xmlns="http://schemas.openxmlformats.org/spreadsheetml/2006/main" count="84" uniqueCount="56">
  <si>
    <t>ID</t>
  </si>
  <si>
    <t>Activity Name</t>
  </si>
  <si>
    <t>Duration</t>
  </si>
  <si>
    <t>Pred 1</t>
  </si>
  <si>
    <t>Pred 2</t>
  </si>
  <si>
    <t>ES</t>
  </si>
  <si>
    <t>EF</t>
  </si>
  <si>
    <t>LS</t>
  </si>
  <si>
    <t>LF</t>
  </si>
  <si>
    <t>Slack</t>
  </si>
  <si>
    <t>Critical?</t>
  </si>
  <si>
    <t>A</t>
  </si>
  <si>
    <t>Requirement Gathering</t>
  </si>
  <si>
    <t>B</t>
  </si>
  <si>
    <t>Define Project Concept</t>
  </si>
  <si>
    <t>C</t>
  </si>
  <si>
    <t>Develop Project Plan</t>
  </si>
  <si>
    <t>D</t>
  </si>
  <si>
    <t>Define Roles &amp; Responsibilities</t>
  </si>
  <si>
    <t>E</t>
  </si>
  <si>
    <t>Create Workflow Diagram</t>
  </si>
  <si>
    <t>F</t>
  </si>
  <si>
    <t>Identify Dataset</t>
  </si>
  <si>
    <t>G</t>
  </si>
  <si>
    <t>Data Cleaning</t>
  </si>
  <si>
    <t>H</t>
  </si>
  <si>
    <t>Text Preprocessing</t>
  </si>
  <si>
    <t>Feature Extraction</t>
  </si>
  <si>
    <t>J</t>
  </si>
  <si>
    <t>Model Training</t>
  </si>
  <si>
    <t>I</t>
  </si>
  <si>
    <t>K</t>
  </si>
  <si>
    <t>Model Evaluation</t>
  </si>
  <si>
    <t>L</t>
  </si>
  <si>
    <t>Improve Performance</t>
  </si>
  <si>
    <t>M</t>
  </si>
  <si>
    <t>Conduct Testing</t>
  </si>
  <si>
    <t>N</t>
  </si>
  <si>
    <t>Integrate Model</t>
  </si>
  <si>
    <t>O</t>
  </si>
  <si>
    <t>Build Prototype Interface</t>
  </si>
  <si>
    <t>P</t>
  </si>
  <si>
    <t>Prepare Report &amp; Slides</t>
  </si>
  <si>
    <t>Q</t>
  </si>
  <si>
    <t>Final Presentation</t>
  </si>
  <si>
    <t>Critical Path (PDM)</t>
  </si>
  <si>
    <t>Activities with zero slack:</t>
  </si>
  <si>
    <t>Confirmed Critical Path:</t>
  </si>
  <si>
    <t>Crashing Analysis</t>
  </si>
  <si>
    <t>Activity</t>
  </si>
  <si>
    <t>Original Duration</t>
  </si>
  <si>
    <t>Crashed Duration</t>
  </si>
  <si>
    <t>Days Saved</t>
  </si>
  <si>
    <t>Extra Cost</t>
  </si>
  <si>
    <r>
      <rPr>
        <rFont val="Arial"/>
        <b/>
        <color theme="1"/>
      </rPr>
      <t>New Project Duration:</t>
    </r>
    <r>
      <rPr>
        <rFont val="Arial"/>
        <color theme="1"/>
      </rPr>
      <t xml:space="preserve"> 84 days</t>
    </r>
  </si>
  <si>
    <r>
      <rPr>
        <rFont val="Arial"/>
        <b/>
        <color theme="1"/>
      </rPr>
      <t>Total Crashing Cost:</t>
    </r>
    <r>
      <rPr>
        <rFont val="Arial"/>
        <color theme="1"/>
      </rPr>
      <t xml:space="preserve"> RM325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</si>
</sst>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FF99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</border>
    <border>
      <right style="thin">
        <color rgb="FFFF9900"/>
      </right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 shrinkToFit="0" wrapText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5" fillId="3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readingOrder="0" shrinkToFit="0" wrapText="0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5" fillId="4" fontId="1" numFmtId="0" xfId="0" applyAlignment="1" applyBorder="1" applyFont="1">
      <alignment horizontal="center"/>
    </xf>
    <xf borderId="4" fillId="4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7" fillId="3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5" numFmtId="0" xfId="0" applyAlignment="1" applyFont="1">
      <alignment readingOrder="0"/>
    </xf>
    <xf borderId="0" fillId="2" fontId="5" numFmtId="0" xfId="0" applyAlignment="1" applyFont="1">
      <alignment readingOrder="0" shrinkToFit="0" wrapText="1"/>
    </xf>
    <xf borderId="0" fillId="2" fontId="1" numFmtId="0" xfId="0" applyFont="1"/>
    <xf borderId="0" fillId="5" fontId="5" numFmtId="0" xfId="0" applyAlignment="1" applyFill="1" applyFont="1">
      <alignment readingOrder="0"/>
    </xf>
    <xf borderId="0" fillId="5" fontId="6" numFmtId="0" xfId="0" applyAlignment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4.75"/>
    <col customWidth="1" min="4" max="4" width="14.63"/>
    <col customWidth="1" min="5" max="5" width="5.88"/>
    <col customWidth="1" min="6" max="6" width="5.25"/>
    <col customWidth="1" min="7" max="8" width="5.0"/>
    <col customWidth="1" min="9" max="9" width="4.88"/>
    <col customWidth="1" min="10" max="10" width="7.63"/>
    <col customWidth="1" min="11" max="11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 t="s">
        <v>11</v>
      </c>
      <c r="B2" s="5" t="s">
        <v>12</v>
      </c>
      <c r="C2" s="6">
        <v>7.0</v>
      </c>
      <c r="D2" s="7"/>
      <c r="E2" s="7"/>
      <c r="F2" s="7">
        <f t="shared" ref="F2:F18" si="1">MAX(IFERROR(VLOOKUP(D2, $A$2:$G$18, 7, FALSE), 0), IFERROR(VLOOKUP(E2, $A$2:$G$18, 7, FALSE), 0))</f>
        <v>0</v>
      </c>
      <c r="G2" s="7">
        <f t="shared" ref="G2:G18" si="2">F2+C2</f>
        <v>7</v>
      </c>
      <c r="H2" s="7">
        <f t="shared" ref="H2:H18" si="3">I2-C2</f>
        <v>58</v>
      </c>
      <c r="I2" s="7">
        <f t="shared" ref="I2:I18" si="4">IF(COUNTIF($D$2:$E$18, A2)=0, MAX($G$2:$G$18), MIN(IFERROR(INDEX($H$2:$H$18, MATCH(A2, $D$2:$D$18, 0)), 999), IFERROR(INDEX($H$2:$H$18, MATCH(A2, $E$2:$E$18, 0)), 999)))</f>
        <v>65</v>
      </c>
      <c r="J2" s="7">
        <f t="shared" ref="J2:J18" si="5">H2-F2</f>
        <v>58</v>
      </c>
      <c r="K2" s="8" t="str">
        <f t="shared" ref="K2:K18" si="6">IF(J2=0, "CRITICAL", "-")</f>
        <v>-</v>
      </c>
    </row>
    <row r="3">
      <c r="A3" s="9" t="s">
        <v>13</v>
      </c>
      <c r="B3" s="10" t="s">
        <v>14</v>
      </c>
      <c r="C3" s="11">
        <v>7.0</v>
      </c>
      <c r="D3" s="11" t="s">
        <v>11</v>
      </c>
      <c r="E3" s="12"/>
      <c r="F3" s="12">
        <f t="shared" si="1"/>
        <v>7</v>
      </c>
      <c r="G3" s="12">
        <f t="shared" si="2"/>
        <v>14</v>
      </c>
      <c r="H3" s="12">
        <f t="shared" si="3"/>
        <v>65</v>
      </c>
      <c r="I3" s="12">
        <f t="shared" si="4"/>
        <v>72</v>
      </c>
      <c r="J3" s="12">
        <f t="shared" si="5"/>
        <v>58</v>
      </c>
      <c r="K3" s="13" t="str">
        <f t="shared" si="6"/>
        <v>-</v>
      </c>
    </row>
    <row r="4">
      <c r="A4" s="4" t="s">
        <v>15</v>
      </c>
      <c r="B4" s="5" t="s">
        <v>16</v>
      </c>
      <c r="C4" s="6">
        <v>3.0</v>
      </c>
      <c r="D4" s="6" t="s">
        <v>13</v>
      </c>
      <c r="E4" s="7"/>
      <c r="F4" s="7">
        <f t="shared" si="1"/>
        <v>14</v>
      </c>
      <c r="G4" s="7">
        <f t="shared" si="2"/>
        <v>17</v>
      </c>
      <c r="H4" s="7">
        <f t="shared" si="3"/>
        <v>72</v>
      </c>
      <c r="I4" s="7">
        <f t="shared" si="4"/>
        <v>75</v>
      </c>
      <c r="J4" s="7">
        <f t="shared" si="5"/>
        <v>58</v>
      </c>
      <c r="K4" s="8" t="str">
        <f t="shared" si="6"/>
        <v>-</v>
      </c>
    </row>
    <row r="5">
      <c r="A5" s="9" t="s">
        <v>17</v>
      </c>
      <c r="B5" s="10" t="s">
        <v>18</v>
      </c>
      <c r="C5" s="11">
        <v>2.0</v>
      </c>
      <c r="D5" s="11" t="s">
        <v>13</v>
      </c>
      <c r="E5" s="12"/>
      <c r="F5" s="12">
        <f t="shared" si="1"/>
        <v>14</v>
      </c>
      <c r="G5" s="12">
        <f t="shared" si="2"/>
        <v>16</v>
      </c>
      <c r="H5" s="12">
        <f t="shared" si="3"/>
        <v>73</v>
      </c>
      <c r="I5" s="12">
        <f t="shared" si="4"/>
        <v>75</v>
      </c>
      <c r="J5" s="12">
        <f t="shared" si="5"/>
        <v>59</v>
      </c>
      <c r="K5" s="13" t="str">
        <f t="shared" si="6"/>
        <v>-</v>
      </c>
    </row>
    <row r="6">
      <c r="A6" s="4" t="s">
        <v>19</v>
      </c>
      <c r="B6" s="5" t="s">
        <v>20</v>
      </c>
      <c r="C6" s="6">
        <v>7.0</v>
      </c>
      <c r="D6" s="6" t="s">
        <v>15</v>
      </c>
      <c r="E6" s="6" t="s">
        <v>17</v>
      </c>
      <c r="F6" s="7">
        <f t="shared" si="1"/>
        <v>17</v>
      </c>
      <c r="G6" s="7">
        <f t="shared" si="2"/>
        <v>24</v>
      </c>
      <c r="H6" s="7">
        <f t="shared" si="3"/>
        <v>75</v>
      </c>
      <c r="I6" s="7">
        <f t="shared" si="4"/>
        <v>82</v>
      </c>
      <c r="J6" s="7">
        <f t="shared" si="5"/>
        <v>58</v>
      </c>
      <c r="K6" s="8" t="str">
        <f t="shared" si="6"/>
        <v>-</v>
      </c>
    </row>
    <row r="7">
      <c r="A7" s="9" t="s">
        <v>21</v>
      </c>
      <c r="B7" s="10" t="s">
        <v>22</v>
      </c>
      <c r="C7" s="11">
        <v>4.0</v>
      </c>
      <c r="D7" s="11" t="s">
        <v>19</v>
      </c>
      <c r="E7" s="12"/>
      <c r="F7" s="12">
        <f t="shared" si="1"/>
        <v>24</v>
      </c>
      <c r="G7" s="12">
        <f t="shared" si="2"/>
        <v>28</v>
      </c>
      <c r="H7" s="12">
        <f t="shared" si="3"/>
        <v>82</v>
      </c>
      <c r="I7" s="12">
        <f t="shared" si="4"/>
        <v>86</v>
      </c>
      <c r="J7" s="12">
        <f t="shared" si="5"/>
        <v>58</v>
      </c>
      <c r="K7" s="13" t="str">
        <f t="shared" si="6"/>
        <v>-</v>
      </c>
    </row>
    <row r="8">
      <c r="A8" s="4" t="s">
        <v>23</v>
      </c>
      <c r="B8" s="5" t="s">
        <v>24</v>
      </c>
      <c r="C8" s="6">
        <v>3.0</v>
      </c>
      <c r="D8" s="6" t="s">
        <v>19</v>
      </c>
      <c r="E8" s="7"/>
      <c r="F8" s="7">
        <f t="shared" si="1"/>
        <v>24</v>
      </c>
      <c r="G8" s="7">
        <f t="shared" si="2"/>
        <v>27</v>
      </c>
      <c r="H8" s="7">
        <f t="shared" si="3"/>
        <v>73</v>
      </c>
      <c r="I8" s="7">
        <f t="shared" si="4"/>
        <v>76</v>
      </c>
      <c r="J8" s="7">
        <f t="shared" si="5"/>
        <v>49</v>
      </c>
      <c r="K8" s="8" t="str">
        <f t="shared" si="6"/>
        <v>-</v>
      </c>
    </row>
    <row r="9">
      <c r="A9" s="14" t="s">
        <v>25</v>
      </c>
      <c r="B9" s="10" t="s">
        <v>26</v>
      </c>
      <c r="C9" s="11">
        <v>3.0</v>
      </c>
      <c r="D9" s="11" t="s">
        <v>23</v>
      </c>
      <c r="E9" s="12"/>
      <c r="F9" s="12">
        <f t="shared" si="1"/>
        <v>27</v>
      </c>
      <c r="G9" s="12">
        <f t="shared" si="2"/>
        <v>30</v>
      </c>
      <c r="H9" s="12">
        <f t="shared" si="3"/>
        <v>76</v>
      </c>
      <c r="I9" s="12">
        <f t="shared" si="4"/>
        <v>79</v>
      </c>
      <c r="J9" s="12">
        <f t="shared" si="5"/>
        <v>49</v>
      </c>
      <c r="K9" s="13" t="str">
        <f t="shared" si="6"/>
        <v>-</v>
      </c>
    </row>
    <row r="10">
      <c r="A10" s="15" t="s">
        <v>0</v>
      </c>
      <c r="B10" s="5" t="s">
        <v>27</v>
      </c>
      <c r="C10" s="6">
        <v>7.0</v>
      </c>
      <c r="D10" s="6" t="s">
        <v>25</v>
      </c>
      <c r="E10" s="7"/>
      <c r="F10" s="7">
        <f t="shared" si="1"/>
        <v>30</v>
      </c>
      <c r="G10" s="7">
        <f t="shared" si="2"/>
        <v>37</v>
      </c>
      <c r="H10" s="7">
        <f t="shared" si="3"/>
        <v>79</v>
      </c>
      <c r="I10" s="7">
        <f t="shared" si="4"/>
        <v>86</v>
      </c>
      <c r="J10" s="7">
        <f t="shared" si="5"/>
        <v>49</v>
      </c>
      <c r="K10" s="8" t="str">
        <f t="shared" si="6"/>
        <v>-</v>
      </c>
    </row>
    <row r="11">
      <c r="A11" s="14" t="s">
        <v>28</v>
      </c>
      <c r="B11" s="10" t="s">
        <v>29</v>
      </c>
      <c r="C11" s="11">
        <v>14.0</v>
      </c>
      <c r="D11" s="11" t="s">
        <v>30</v>
      </c>
      <c r="E11" s="12"/>
      <c r="F11" s="12">
        <f t="shared" si="1"/>
        <v>0</v>
      </c>
      <c r="G11" s="12">
        <f t="shared" si="2"/>
        <v>14</v>
      </c>
      <c r="H11" s="12">
        <f t="shared" si="3"/>
        <v>0</v>
      </c>
      <c r="I11" s="12">
        <f t="shared" si="4"/>
        <v>14</v>
      </c>
      <c r="J11" s="12">
        <f t="shared" si="5"/>
        <v>0</v>
      </c>
      <c r="K11" s="13" t="str">
        <f t="shared" si="6"/>
        <v>CRITICAL</v>
      </c>
    </row>
    <row r="12">
      <c r="A12" s="15" t="s">
        <v>31</v>
      </c>
      <c r="B12" s="5" t="s">
        <v>32</v>
      </c>
      <c r="C12" s="6">
        <v>7.0</v>
      </c>
      <c r="D12" s="6" t="s">
        <v>28</v>
      </c>
      <c r="E12" s="7"/>
      <c r="F12" s="7">
        <f t="shared" si="1"/>
        <v>14</v>
      </c>
      <c r="G12" s="7">
        <f t="shared" si="2"/>
        <v>21</v>
      </c>
      <c r="H12" s="7">
        <f t="shared" si="3"/>
        <v>14</v>
      </c>
      <c r="I12" s="7">
        <f t="shared" si="4"/>
        <v>21</v>
      </c>
      <c r="J12" s="7">
        <f t="shared" si="5"/>
        <v>0</v>
      </c>
      <c r="K12" s="8" t="str">
        <f t="shared" si="6"/>
        <v>CRITICAL</v>
      </c>
    </row>
    <row r="13">
      <c r="A13" s="14" t="s">
        <v>33</v>
      </c>
      <c r="B13" s="10" t="s">
        <v>34</v>
      </c>
      <c r="C13" s="11">
        <v>7.0</v>
      </c>
      <c r="D13" s="11" t="s">
        <v>31</v>
      </c>
      <c r="E13" s="12"/>
      <c r="F13" s="12">
        <f t="shared" si="1"/>
        <v>21</v>
      </c>
      <c r="G13" s="12">
        <f t="shared" si="2"/>
        <v>28</v>
      </c>
      <c r="H13" s="12">
        <f t="shared" si="3"/>
        <v>21</v>
      </c>
      <c r="I13" s="12">
        <f t="shared" si="4"/>
        <v>28</v>
      </c>
      <c r="J13" s="12">
        <f t="shared" si="5"/>
        <v>0</v>
      </c>
      <c r="K13" s="13" t="str">
        <f t="shared" si="6"/>
        <v>CRITICAL</v>
      </c>
    </row>
    <row r="14">
      <c r="A14" s="15" t="s">
        <v>35</v>
      </c>
      <c r="B14" s="5" t="s">
        <v>36</v>
      </c>
      <c r="C14" s="6">
        <v>5.0</v>
      </c>
      <c r="D14" s="6" t="s">
        <v>31</v>
      </c>
      <c r="E14" s="7"/>
      <c r="F14" s="7">
        <f t="shared" si="1"/>
        <v>21</v>
      </c>
      <c r="G14" s="7">
        <f t="shared" si="2"/>
        <v>26</v>
      </c>
      <c r="H14" s="7">
        <f t="shared" si="3"/>
        <v>23</v>
      </c>
      <c r="I14" s="7">
        <f t="shared" si="4"/>
        <v>28</v>
      </c>
      <c r="J14" s="7">
        <f t="shared" si="5"/>
        <v>2</v>
      </c>
      <c r="K14" s="8" t="str">
        <f t="shared" si="6"/>
        <v>-</v>
      </c>
    </row>
    <row r="15">
      <c r="A15" s="14" t="s">
        <v>37</v>
      </c>
      <c r="B15" s="10" t="s">
        <v>38</v>
      </c>
      <c r="C15" s="11">
        <v>6.0</v>
      </c>
      <c r="D15" s="11" t="s">
        <v>33</v>
      </c>
      <c r="E15" s="11" t="s">
        <v>35</v>
      </c>
      <c r="F15" s="12">
        <f t="shared" si="1"/>
        <v>28</v>
      </c>
      <c r="G15" s="12">
        <f t="shared" si="2"/>
        <v>34</v>
      </c>
      <c r="H15" s="12">
        <f t="shared" si="3"/>
        <v>28</v>
      </c>
      <c r="I15" s="12">
        <f t="shared" si="4"/>
        <v>34</v>
      </c>
      <c r="J15" s="12">
        <f t="shared" si="5"/>
        <v>0</v>
      </c>
      <c r="K15" s="13" t="str">
        <f t="shared" si="6"/>
        <v>CRITICAL</v>
      </c>
    </row>
    <row r="16">
      <c r="A16" s="15" t="s">
        <v>39</v>
      </c>
      <c r="B16" s="5" t="s">
        <v>40</v>
      </c>
      <c r="C16" s="6">
        <v>34.0</v>
      </c>
      <c r="D16" s="6" t="s">
        <v>37</v>
      </c>
      <c r="E16" s="7"/>
      <c r="F16" s="7">
        <f t="shared" si="1"/>
        <v>34</v>
      </c>
      <c r="G16" s="7">
        <f t="shared" si="2"/>
        <v>68</v>
      </c>
      <c r="H16" s="7">
        <f t="shared" si="3"/>
        <v>34</v>
      </c>
      <c r="I16" s="7">
        <f t="shared" si="4"/>
        <v>68</v>
      </c>
      <c r="J16" s="7">
        <f t="shared" si="5"/>
        <v>0</v>
      </c>
      <c r="K16" s="8" t="str">
        <f t="shared" si="6"/>
        <v>CRITICAL</v>
      </c>
    </row>
    <row r="17">
      <c r="A17" s="14" t="s">
        <v>41</v>
      </c>
      <c r="B17" s="10" t="s">
        <v>42</v>
      </c>
      <c r="C17" s="11">
        <v>9.0</v>
      </c>
      <c r="D17" s="11" t="s">
        <v>15</v>
      </c>
      <c r="E17" s="11" t="s">
        <v>39</v>
      </c>
      <c r="F17" s="12">
        <f t="shared" si="1"/>
        <v>68</v>
      </c>
      <c r="G17" s="12">
        <f t="shared" si="2"/>
        <v>77</v>
      </c>
      <c r="H17" s="12">
        <f t="shared" si="3"/>
        <v>68</v>
      </c>
      <c r="I17" s="12">
        <f t="shared" si="4"/>
        <v>77</v>
      </c>
      <c r="J17" s="12">
        <f t="shared" si="5"/>
        <v>0</v>
      </c>
      <c r="K17" s="13" t="str">
        <f t="shared" si="6"/>
        <v>CRITICAL</v>
      </c>
    </row>
    <row r="18">
      <c r="A18" s="16" t="s">
        <v>43</v>
      </c>
      <c r="B18" s="17" t="s">
        <v>44</v>
      </c>
      <c r="C18" s="18">
        <v>9.0</v>
      </c>
      <c r="D18" s="18" t="s">
        <v>41</v>
      </c>
      <c r="E18" s="19"/>
      <c r="F18" s="19">
        <f t="shared" si="1"/>
        <v>77</v>
      </c>
      <c r="G18" s="19">
        <f t="shared" si="2"/>
        <v>86</v>
      </c>
      <c r="H18" s="19">
        <f t="shared" si="3"/>
        <v>77</v>
      </c>
      <c r="I18" s="19">
        <f t="shared" si="4"/>
        <v>86</v>
      </c>
      <c r="J18" s="19">
        <f t="shared" si="5"/>
        <v>0</v>
      </c>
      <c r="K18" s="20" t="str">
        <f t="shared" si="6"/>
        <v>CRITICAL</v>
      </c>
    </row>
    <row r="20">
      <c r="A20" s="21" t="s">
        <v>45</v>
      </c>
      <c r="C20" s="22"/>
    </row>
    <row r="21">
      <c r="B21" s="23" t="s">
        <v>46</v>
      </c>
    </row>
    <row r="22">
      <c r="B22" s="24" t="s">
        <v>29</v>
      </c>
    </row>
    <row r="23">
      <c r="B23" s="24" t="s">
        <v>32</v>
      </c>
    </row>
    <row r="24">
      <c r="B24" s="24" t="s">
        <v>34</v>
      </c>
    </row>
    <row r="25">
      <c r="B25" s="24" t="s">
        <v>38</v>
      </c>
    </row>
    <row r="26">
      <c r="B26" s="24" t="s">
        <v>40</v>
      </c>
    </row>
    <row r="27">
      <c r="B27" s="24" t="s">
        <v>42</v>
      </c>
    </row>
    <row r="28">
      <c r="B28" s="25" t="s">
        <v>44</v>
      </c>
    </row>
    <row r="30">
      <c r="B30" s="23" t="s">
        <v>47</v>
      </c>
    </row>
    <row r="32">
      <c r="A32" s="26"/>
    </row>
    <row r="33">
      <c r="B33" s="23"/>
      <c r="C33" s="23"/>
    </row>
    <row r="34">
      <c r="B34" s="23"/>
      <c r="C34" s="23"/>
    </row>
    <row r="37">
      <c r="A37" s="23" t="s">
        <v>48</v>
      </c>
    </row>
    <row r="38">
      <c r="A38" s="27" t="s">
        <v>49</v>
      </c>
      <c r="B38" s="27" t="s">
        <v>50</v>
      </c>
      <c r="C38" s="28" t="s">
        <v>51</v>
      </c>
      <c r="D38" s="27" t="s">
        <v>52</v>
      </c>
      <c r="E38" s="27" t="s">
        <v>53</v>
      </c>
      <c r="F38" s="29"/>
      <c r="G38" s="29"/>
    </row>
    <row r="39">
      <c r="A39" s="30" t="s">
        <v>28</v>
      </c>
      <c r="B39" s="31">
        <v>14.0</v>
      </c>
      <c r="C39" s="31">
        <v>13.0</v>
      </c>
      <c r="D39" s="31">
        <v>1.0</v>
      </c>
      <c r="E39" s="31">
        <v>150.0</v>
      </c>
      <c r="F39" s="32"/>
      <c r="G39" s="32"/>
    </row>
    <row r="40">
      <c r="A40" s="30" t="s">
        <v>31</v>
      </c>
      <c r="B40" s="31">
        <v>7.0</v>
      </c>
      <c r="C40" s="31">
        <v>6.0</v>
      </c>
      <c r="D40" s="31">
        <v>1.0</v>
      </c>
      <c r="E40" s="31">
        <v>175.0</v>
      </c>
      <c r="F40" s="32"/>
      <c r="G40" s="32"/>
    </row>
    <row r="42">
      <c r="A42" s="24" t="s">
        <v>54</v>
      </c>
    </row>
    <row r="43">
      <c r="A43" s="24" t="s">
        <v>55</v>
      </c>
    </row>
  </sheetData>
  <mergeCells count="2">
    <mergeCell ref="A20:B20"/>
    <mergeCell ref="A32:B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