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ython_workspace\ai-project-management-news-topic-classification\budget\"/>
    </mc:Choice>
  </mc:AlternateContent>
  <xr:revisionPtr revIDLastSave="0" documentId="13_ncr:1_{4A4A01A6-E2B1-46F8-9ACF-4047937B8BE5}" xr6:coauthVersionLast="47" xr6:coauthVersionMax="47" xr10:uidLastSave="{00000000-0000-0000-0000-000000000000}"/>
  <bookViews>
    <workbookView xWindow="-108" yWindow="-108" windowWidth="23256" windowHeight="12456" xr2:uid="{A6160436-880D-4610-98CB-57698CEC274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7" i="1" l="1"/>
  <c r="E44" i="1"/>
  <c r="E4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23" i="1"/>
  <c r="A2" i="1"/>
  <c r="B2" i="1"/>
  <c r="C2" i="1"/>
  <c r="D2" i="1"/>
  <c r="E2" i="1"/>
  <c r="F2" i="1"/>
  <c r="B3" i="1"/>
  <c r="C3" i="1"/>
  <c r="D3" i="1"/>
  <c r="E3" i="1"/>
  <c r="F3" i="1"/>
  <c r="B4" i="1"/>
  <c r="C4" i="1"/>
  <c r="D4" i="1"/>
  <c r="E4" i="1"/>
  <c r="F4" i="1"/>
  <c r="B5" i="1"/>
  <c r="C5" i="1"/>
  <c r="D5" i="1"/>
  <c r="E5" i="1"/>
  <c r="F5" i="1"/>
  <c r="B6" i="1"/>
  <c r="C6" i="1"/>
  <c r="D6" i="1"/>
  <c r="E6" i="1"/>
  <c r="F6" i="1"/>
  <c r="B7" i="1"/>
  <c r="C7" i="1"/>
  <c r="D7" i="1"/>
  <c r="E7" i="1"/>
  <c r="F7" i="1"/>
  <c r="B8" i="1"/>
  <c r="C8" i="1"/>
  <c r="D8" i="1"/>
  <c r="E8" i="1"/>
  <c r="F8" i="1"/>
  <c r="B9" i="1"/>
  <c r="C9" i="1"/>
  <c r="D9" i="1"/>
  <c r="E9" i="1"/>
  <c r="F9" i="1"/>
  <c r="B10" i="1"/>
  <c r="C10" i="1"/>
  <c r="D10" i="1"/>
  <c r="E10" i="1"/>
  <c r="F10" i="1"/>
  <c r="B11" i="1"/>
  <c r="C11" i="1"/>
  <c r="D11" i="1"/>
  <c r="E11" i="1"/>
  <c r="F11" i="1"/>
  <c r="B12" i="1"/>
  <c r="C12" i="1"/>
  <c r="D12" i="1"/>
  <c r="E12" i="1"/>
  <c r="F12" i="1"/>
  <c r="B13" i="1"/>
  <c r="C13" i="1"/>
  <c r="D13" i="1"/>
  <c r="E13" i="1"/>
  <c r="F13" i="1"/>
  <c r="B14" i="1"/>
  <c r="C14" i="1"/>
  <c r="D14" i="1"/>
  <c r="E14" i="1"/>
  <c r="F14" i="1"/>
  <c r="B15" i="1"/>
  <c r="C15" i="1"/>
  <c r="D15" i="1"/>
  <c r="E15" i="1"/>
  <c r="F15" i="1"/>
  <c r="B16" i="1"/>
  <c r="C16" i="1"/>
  <c r="D16" i="1"/>
  <c r="E16" i="1"/>
  <c r="F16" i="1"/>
  <c r="B17" i="1"/>
  <c r="C17" i="1"/>
  <c r="D17" i="1"/>
  <c r="E17" i="1"/>
  <c r="F17" i="1"/>
  <c r="B18" i="1"/>
  <c r="C18" i="1"/>
  <c r="D18" i="1"/>
  <c r="E18" i="1"/>
  <c r="F18" i="1"/>
  <c r="B19" i="1"/>
  <c r="C19" i="1"/>
  <c r="D19" i="1"/>
  <c r="E19" i="1"/>
  <c r="F19" i="1"/>
</calcChain>
</file>

<file path=xl/sharedStrings.xml><?xml version="1.0" encoding="utf-8"?>
<sst xmlns="http://schemas.openxmlformats.org/spreadsheetml/2006/main" count="54" uniqueCount="39">
  <si>
    <t>Resource Identifcation</t>
  </si>
  <si>
    <t>Task Cost Estimation</t>
  </si>
  <si>
    <t>WBS Task</t>
  </si>
  <si>
    <t>Hours</t>
  </si>
  <si>
    <t>Resource Type</t>
  </si>
  <si>
    <t>Rate (RM/hr)</t>
  </si>
  <si>
    <t>Total Cost (RM)</t>
  </si>
  <si>
    <t>Define Project Concept</t>
  </si>
  <si>
    <t>Human</t>
  </si>
  <si>
    <t>Requirement Gathering</t>
  </si>
  <si>
    <t>Create Workflow Diagram</t>
  </si>
  <si>
    <t>Define Roles &amp; Responsibilities</t>
  </si>
  <si>
    <t>Develop Project Plan</t>
  </si>
  <si>
    <t>Identify Dataset</t>
  </si>
  <si>
    <t>Data Cleaning</t>
  </si>
  <si>
    <t>Text Preprocessing</t>
  </si>
  <si>
    <t>Feature Extraction</t>
  </si>
  <si>
    <t>Model Training (GPU)</t>
  </si>
  <si>
    <t>Hardware (GPU)</t>
  </si>
  <si>
    <t>Model Evaluation</t>
  </si>
  <si>
    <t>Build Prototype Interface</t>
  </si>
  <si>
    <t>Integrate Model</t>
  </si>
  <si>
    <t>Conduct Testing</t>
  </si>
  <si>
    <t>Improve Performance</t>
  </si>
  <si>
    <t>Prepare Report &amp; Slides</t>
  </si>
  <si>
    <t>Final Presentation</t>
  </si>
  <si>
    <t>Budget Summary</t>
  </si>
  <si>
    <t>Cost Category</t>
  </si>
  <si>
    <t>Project concept, requirement gathering, workflow design, testing, documentation, etc.</t>
  </si>
  <si>
    <t>GPU instance for model training</t>
  </si>
  <si>
    <t>Draw.io, PowerPoint (free/open-source assumed)</t>
  </si>
  <si>
    <t>Online meetings, file sharing (Teams, GitHub, etc.)</t>
  </si>
  <si>
    <t>Example Items / Tasks</t>
  </si>
  <si>
    <t>Subtotal (RM)</t>
  </si>
  <si>
    <t>Total Estimated Budget</t>
  </si>
  <si>
    <t>Communication</t>
  </si>
  <si>
    <t>Software / Licenses</t>
  </si>
  <si>
    <t>Hardware / Cloud</t>
  </si>
  <si>
    <t>Human Resources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</si>
</sst>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1" xfId="0" applyBorder="1"/>
    <xf numFmtId="0" fontId="0" fillId="0" borderId="0" xfId="0" applyBorder="1"/>
    <xf numFmtId="0" fontId="0" fillId="0" borderId="5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1" fillId="0" borderId="0" xfId="0" applyFont="1"/>
    <xf numFmtId="0" fontId="0" fillId="0" borderId="2" xfId="0" applyBorder="1" applyAlignment="1">
      <alignment horizontal="left"/>
    </xf>
    <xf numFmtId="0" fontId="0" fillId="0" borderId="4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1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8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3" fontId="0" fillId="0" borderId="5" xfId="0" applyNumberFormat="1" applyBorder="1"/>
    <xf numFmtId="0" fontId="0" fillId="0" borderId="6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8" xfId="0" applyBorder="1" applyAlignment="1">
      <alignment horizontal="center"/>
    </xf>
    <xf numFmtId="3" fontId="0" fillId="0" borderId="1" xfId="0" applyNumberFormat="1" applyBorder="1"/>
    <xf numFmtId="0" fontId="0" fillId="0" borderId="3" xfId="0" applyBorder="1" applyAlignment="1">
      <alignment horizontal="left"/>
    </xf>
    <xf numFmtId="0" fontId="0" fillId="0" borderId="3" xfId="0" applyBorder="1" applyAlignment="1">
      <alignment horizontal="center"/>
    </xf>
    <xf numFmtId="0" fontId="1" fillId="0" borderId="6" xfId="0" applyFont="1" applyBorder="1" applyAlignment="1">
      <alignment horizontal="left"/>
    </xf>
    <xf numFmtId="0" fontId="1" fillId="0" borderId="7" xfId="0" applyFont="1" applyBorder="1" applyAlignment="1">
      <alignment horizontal="left"/>
    </xf>
    <xf numFmtId="0" fontId="1" fillId="0" borderId="8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9A7485-A242-470D-9FF0-4B62B32777DF}">
  <dimension ref="A1:F47"/>
  <sheetViews>
    <sheetView tabSelected="1" topLeftCell="A22" workbookViewId="0">
      <selection activeCell="F46" sqref="F46"/>
    </sheetView>
  </sheetViews>
  <sheetFormatPr defaultRowHeight="14.4" x14ac:dyDescent="0.3"/>
  <cols>
    <col min="2" max="2" width="27.6640625" bestFit="1" customWidth="1"/>
    <col min="3" max="3" width="24.109375" bestFit="1" customWidth="1"/>
    <col min="4" max="4" width="49.33203125" bestFit="1" customWidth="1"/>
    <col min="5" max="5" width="14" bestFit="1" customWidth="1"/>
    <col min="6" max="6" width="53.33203125" bestFit="1" customWidth="1"/>
  </cols>
  <sheetData>
    <row r="1" spans="1:6" x14ac:dyDescent="0.3">
      <c r="A1" s="12" t="s">
        <v>0</v>
      </c>
    </row>
    <row r="2" spans="1:6" x14ac:dyDescent="0.3">
      <c r="A2" s="1" t="str">
        <f>"WBS ID"</f>
        <v>WBS ID</v>
      </c>
      <c r="B2" s="9" t="str">
        <f>"Task"</f>
        <v>Task</v>
      </c>
      <c r="C2" s="1" t="str">
        <f>"Resource Type"</f>
        <v>Resource Type</v>
      </c>
      <c r="D2" s="10" t="str">
        <f>"Resource Name"</f>
        <v>Resource Name</v>
      </c>
      <c r="E2" s="1" t="str">
        <f>"Quantity / Hours"</f>
        <v>Quantity / Hours</v>
      </c>
      <c r="F2" s="11" t="str">
        <f>"Description"</f>
        <v>Description</v>
      </c>
    </row>
    <row r="3" spans="1:6" x14ac:dyDescent="0.3">
      <c r="A3" s="7">
        <v>1.1000000000000001</v>
      </c>
      <c r="B3" s="6" t="str">
        <f>"Define Project Concept"</f>
        <v>Define Project Concept</v>
      </c>
      <c r="C3" s="6" t="str">
        <f>"Human"</f>
        <v>Human</v>
      </c>
      <c r="D3" s="6" t="str">
        <f>"Ahmad Mirza, Fariz, Aqem, Khoo"</f>
        <v>Ahmad Mirza, Fariz, Aqem, Khoo</v>
      </c>
      <c r="E3" s="6" t="str">
        <f>"8 hrs"</f>
        <v>8 hrs</v>
      </c>
      <c r="F3" s="3" t="str">
        <f>"Brainstorming and drafting project concept document."</f>
        <v>Brainstorming and drafting project concept document.</v>
      </c>
    </row>
    <row r="4" spans="1:6" x14ac:dyDescent="0.3">
      <c r="A4" s="7">
        <v>1.2</v>
      </c>
      <c r="B4" s="7" t="str">
        <f>"Requirement Gathering"</f>
        <v>Requirement Gathering</v>
      </c>
      <c r="C4" s="7" t="str">
        <f>"Human"</f>
        <v>Human</v>
      </c>
      <c r="D4" s="7" t="str">
        <f>"Fariz, Aqem, Ahmad Mirza, Khoo"</f>
        <v>Fariz, Aqem, Ahmad Mirza, Khoo</v>
      </c>
      <c r="E4" s="7" t="str">
        <f>"10 hrs"</f>
        <v>10 hrs</v>
      </c>
      <c r="F4" s="3" t="str">
        <f>"Gathering and documenting user and system requirements."</f>
        <v>Gathering and documenting user and system requirements.</v>
      </c>
    </row>
    <row r="5" spans="1:6" x14ac:dyDescent="0.3">
      <c r="A5" s="7">
        <v>1.3</v>
      </c>
      <c r="B5" s="7" t="str">
        <f>"Create Workflow Diagram"</f>
        <v>Create Workflow Diagram</v>
      </c>
      <c r="C5" s="7" t="str">
        <f>"Human, Software"</f>
        <v>Human, Software</v>
      </c>
      <c r="D5" s="7" t="str">
        <f>"Ahmad Mirza; Draw.io"</f>
        <v>Ahmad Mirza; Draw.io</v>
      </c>
      <c r="E5" s="7" t="str">
        <f>"4 hrs"</f>
        <v>4 hrs</v>
      </c>
      <c r="F5" s="3" t="str">
        <f>"Designing the system workflow diagram using diagramming tools."</f>
        <v>Designing the system workflow diagram using diagramming tools.</v>
      </c>
    </row>
    <row r="6" spans="1:6" x14ac:dyDescent="0.3">
      <c r="A6" s="7">
        <v>2.1</v>
      </c>
      <c r="B6" s="7" t="str">
        <f>"Define Roles and Responsibilities"</f>
        <v>Define Roles and Responsibilities</v>
      </c>
      <c r="C6" s="7" t="str">
        <f>"Human"</f>
        <v>Human</v>
      </c>
      <c r="D6" s="7" t="str">
        <f>"Khoo"</f>
        <v>Khoo</v>
      </c>
      <c r="E6" s="7" t="str">
        <f>"3 hrs"</f>
        <v>3 hrs</v>
      </c>
      <c r="F6" s="3" t="str">
        <f>"Assigning roles and defining team responsibilities."</f>
        <v>Assigning roles and defining team responsibilities.</v>
      </c>
    </row>
    <row r="7" spans="1:6" x14ac:dyDescent="0.3">
      <c r="A7" s="7">
        <v>2.2000000000000002</v>
      </c>
      <c r="B7" s="7" t="str">
        <f>"Develop Project Plan"</f>
        <v>Develop Project Plan</v>
      </c>
      <c r="C7" s="7" t="str">
        <f>"Human, Software"</f>
        <v>Human, Software</v>
      </c>
      <c r="D7" s="7" t="str">
        <f>"Ahmad Mirza, Aqem, Fariz, Khoo; MS Project, Google Sheets"</f>
        <v>Ahmad Mirza, Aqem, Fariz, Khoo; MS Project, Google Sheets</v>
      </c>
      <c r="E7" s="7" t="str">
        <f>"6 hrs"</f>
        <v>6 hrs</v>
      </c>
      <c r="F7" s="3" t="str">
        <f>"Developing timeline, milestones, and deliverables in project plan."</f>
        <v>Developing timeline, milestones, and deliverables in project plan.</v>
      </c>
    </row>
    <row r="8" spans="1:6" x14ac:dyDescent="0.3">
      <c r="A8" s="7">
        <v>3.1</v>
      </c>
      <c r="B8" s="7" t="str">
        <f>"Identify Dataset"</f>
        <v>Identify Dataset</v>
      </c>
      <c r="C8" s="7" t="str">
        <f>"Human, Software"</f>
        <v>Human, Software</v>
      </c>
      <c r="D8" s="7" t="str">
        <f>"Fariz; Kaggle"</f>
        <v>Fariz; Kaggle</v>
      </c>
      <c r="E8" s="7" t="str">
        <f>"5 hrs"</f>
        <v>5 hrs</v>
      </c>
      <c r="F8" s="3" t="str">
        <f>"Searching, downloading, and storing suitable datasets."</f>
        <v>Searching, downloading, and storing suitable datasets.</v>
      </c>
    </row>
    <row r="9" spans="1:6" x14ac:dyDescent="0.3">
      <c r="A9" s="7">
        <v>3.2</v>
      </c>
      <c r="B9" s="7" t="str">
        <f>"Data Cleaning"</f>
        <v>Data Cleaning</v>
      </c>
      <c r="C9" s="7" t="str">
        <f>"Human, Software"</f>
        <v>Human, Software</v>
      </c>
      <c r="D9" s="7" t="str">
        <f>"Aqem; Python (Pandas), Jupyter Notebook"</f>
        <v>Aqem; Python (Pandas), Jupyter Notebook</v>
      </c>
      <c r="E9" s="7" t="str">
        <f>"8 hrs"</f>
        <v>8 hrs</v>
      </c>
      <c r="F9" s="3" t="str">
        <f>"Cleaning and organizing raw data for analysis."</f>
        <v>Cleaning and organizing raw data for analysis.</v>
      </c>
    </row>
    <row r="10" spans="1:6" x14ac:dyDescent="0.3">
      <c r="A10" s="7">
        <v>3.3</v>
      </c>
      <c r="B10" s="7" t="str">
        <f>"Text Preprocessing"</f>
        <v>Text Preprocessing</v>
      </c>
      <c r="C10" s="7" t="str">
        <f>"Human, Software"</f>
        <v>Human, Software</v>
      </c>
      <c r="D10" s="7" t="str">
        <f>"Ahmad Mirza; Python (NLTK, Regex)"</f>
        <v>Ahmad Mirza; Python (NLTK, Regex)</v>
      </c>
      <c r="E10" s="7" t="str">
        <f>"6 hrs"</f>
        <v>6 hrs</v>
      </c>
      <c r="F10" s="3" t="str">
        <f>"Removing noise, tokenizing, and preparing text data."</f>
        <v>Removing noise, tokenizing, and preparing text data.</v>
      </c>
    </row>
    <row r="11" spans="1:6" x14ac:dyDescent="0.3">
      <c r="A11" s="7">
        <v>4.0999999999999996</v>
      </c>
      <c r="B11" s="7" t="str">
        <f>"Feature Extraction"</f>
        <v>Feature Extraction</v>
      </c>
      <c r="C11" s="7" t="str">
        <f>"Human, Software"</f>
        <v>Human, Software</v>
      </c>
      <c r="D11" s="7" t="str">
        <f>"Khoo; Python (TF-IDF, Scikit-learn)"</f>
        <v>Khoo; Python (TF-IDF, Scikit-learn)</v>
      </c>
      <c r="E11" s="7" t="str">
        <f>"6 hrs"</f>
        <v>6 hrs</v>
      </c>
      <c r="F11" s="3" t="str">
        <f>"Extracting key features from text data for model training."</f>
        <v>Extracting key features from text data for model training.</v>
      </c>
    </row>
    <row r="12" spans="1:6" x14ac:dyDescent="0.3">
      <c r="A12" s="7">
        <v>4.2</v>
      </c>
      <c r="B12" s="7" t="str">
        <f>"Model Training"</f>
        <v>Model Training</v>
      </c>
      <c r="C12" s="7" t="str">
        <f>"Human, Software, Hardware"</f>
        <v>Human, Software, Hardware</v>
      </c>
      <c r="D12" s="7" t="str">
        <f>"Fariz; Python (TensorFlow), Scikit-learn, Google Colab"</f>
        <v>Fariz; Python (TensorFlow), Scikit-learn, Google Colab</v>
      </c>
      <c r="E12" s="7" t="str">
        <f>"10 hrs"</f>
        <v>10 hrs</v>
      </c>
      <c r="F12" s="3" t="str">
        <f>"Training machine learning model using available hardware."</f>
        <v>Training machine learning model using available hardware.</v>
      </c>
    </row>
    <row r="13" spans="1:6" x14ac:dyDescent="0.3">
      <c r="A13" s="7">
        <v>4.3</v>
      </c>
      <c r="B13" s="7" t="str">
        <f>"Model Evaluation"</f>
        <v>Model Evaluation</v>
      </c>
      <c r="C13" s="7" t="str">
        <f>"Human, Software"</f>
        <v>Human, Software</v>
      </c>
      <c r="D13" s="7" t="str">
        <f>"Aqem; Python (Matplotlib), Jupyter Notebook"</f>
        <v>Aqem; Python (Matplotlib), Jupyter Notebook</v>
      </c>
      <c r="E13" s="7" t="str">
        <f>"5 hrs"</f>
        <v>5 hrs</v>
      </c>
      <c r="F13" s="3" t="str">
        <f>"Evaluating model performance using metrics and charts."</f>
        <v>Evaluating model performance using metrics and charts.</v>
      </c>
    </row>
    <row r="14" spans="1:6" x14ac:dyDescent="0.3">
      <c r="A14" s="7">
        <v>5.0999999999999996</v>
      </c>
      <c r="B14" s="7" t="str">
        <f>"Build Prototype Interface"</f>
        <v>Build Prototype Interface</v>
      </c>
      <c r="C14" s="7" t="str">
        <f>"Human, Software"</f>
        <v>Human, Software</v>
      </c>
      <c r="D14" s="7" t="str">
        <f>"Khoo; Figma, Flutter"</f>
        <v>Khoo; Figma, Flutter</v>
      </c>
      <c r="E14" s="7" t="str">
        <f>"12 hrs"</f>
        <v>12 hrs</v>
      </c>
      <c r="F14" s="3" t="str">
        <f>"Designing and developing the prototype user interface."</f>
        <v>Designing and developing the prototype user interface.</v>
      </c>
    </row>
    <row r="15" spans="1:6" x14ac:dyDescent="0.3">
      <c r="A15" s="7">
        <v>5.2</v>
      </c>
      <c r="B15" s="7" t="str">
        <f>"Integrate Model"</f>
        <v>Integrate Model</v>
      </c>
      <c r="C15" s="7" t="str">
        <f>"Human, Software"</f>
        <v>Human, Software</v>
      </c>
      <c r="D15" s="7" t="str">
        <f>"Ahmad Mirza; Flask API, Flutter"</f>
        <v>Ahmad Mirza; Flask API, Flutter</v>
      </c>
      <c r="E15" s="7" t="str">
        <f>"10 hrs"</f>
        <v>10 hrs</v>
      </c>
      <c r="F15" s="3" t="str">
        <f>"Integrating trained model into the mobile application."</f>
        <v>Integrating trained model into the mobile application.</v>
      </c>
    </row>
    <row r="16" spans="1:6" x14ac:dyDescent="0.3">
      <c r="A16" s="7">
        <v>6.1</v>
      </c>
      <c r="B16" s="7" t="str">
        <f>"Conduct Testing"</f>
        <v>Conduct Testing</v>
      </c>
      <c r="C16" s="7" t="str">
        <f>"Human, Software"</f>
        <v>Human, Software</v>
      </c>
      <c r="D16" s="7" t="str">
        <f>"Fariz; PyTest, Postman"</f>
        <v>Fariz; PyTest, Postman</v>
      </c>
      <c r="E16" s="7" t="str">
        <f>"8 hrs"</f>
        <v>8 hrs</v>
      </c>
      <c r="F16" s="3" t="str">
        <f>"Conducting functional and integration testing."</f>
        <v>Conducting functional and integration testing.</v>
      </c>
    </row>
    <row r="17" spans="1:6" x14ac:dyDescent="0.3">
      <c r="A17" s="7">
        <v>6.2</v>
      </c>
      <c r="B17" s="7" t="str">
        <f>"Improve Performance"</f>
        <v>Improve Performance</v>
      </c>
      <c r="C17" s="7" t="str">
        <f>"Human, Software, Hardware"</f>
        <v>Human, Software, Hardware</v>
      </c>
      <c r="D17" s="7" t="str">
        <f>"Ahmad Mirza; Python Optimization, GPU, Google Colab"</f>
        <v>Ahmad Mirza; Python Optimization, GPU, Google Colab</v>
      </c>
      <c r="E17" s="7" t="str">
        <f>"8 hrs"</f>
        <v>8 hrs</v>
      </c>
      <c r="F17" s="3" t="str">
        <f>"Enhancing model and system performance."</f>
        <v>Enhancing model and system performance.</v>
      </c>
    </row>
    <row r="18" spans="1:6" x14ac:dyDescent="0.3">
      <c r="A18" s="7">
        <v>7.1</v>
      </c>
      <c r="B18" s="7" t="str">
        <f>"Prepare Report &amp; Slides"</f>
        <v>Prepare Report &amp; Slides</v>
      </c>
      <c r="C18" s="7" t="str">
        <f>"Human, Software"</f>
        <v>Human, Software</v>
      </c>
      <c r="D18" s="7" t="str">
        <f>"Khoo, Ahmad Mirza, Aqem, Fariz; MS Word, PowerPoint"</f>
        <v>Khoo, Ahmad Mirza, Aqem, Fariz; MS Word, PowerPoint</v>
      </c>
      <c r="E18" s="7" t="str">
        <f>"10 hrs"</f>
        <v>10 hrs</v>
      </c>
      <c r="F18" s="3" t="str">
        <f>"Preparing final project report and presentation slides."</f>
        <v>Preparing final project report and presentation slides.</v>
      </c>
    </row>
    <row r="19" spans="1:6" x14ac:dyDescent="0.3">
      <c r="A19" s="8">
        <v>7.2</v>
      </c>
      <c r="B19" s="8" t="str">
        <f>"Final Presentation"</f>
        <v>Final Presentation</v>
      </c>
      <c r="C19" s="8" t="str">
        <f>"Human, Equipment"</f>
        <v>Human, Equipment</v>
      </c>
      <c r="D19" s="8" t="str">
        <f>"Team; Laptop, Projector"</f>
        <v>Team; Laptop, Projector</v>
      </c>
      <c r="E19" s="8" t="str">
        <f>"4 hrs"</f>
        <v>4 hrs</v>
      </c>
      <c r="F19" s="5" t="str">
        <f>"Presenting the final system to evaluators."</f>
        <v>Presenting the final system to evaluators.</v>
      </c>
    </row>
    <row r="21" spans="1:6" x14ac:dyDescent="0.3">
      <c r="A21" s="12" t="s">
        <v>1</v>
      </c>
    </row>
    <row r="22" spans="1:6" x14ac:dyDescent="0.3">
      <c r="A22" s="16" t="s">
        <v>2</v>
      </c>
      <c r="B22" s="18"/>
      <c r="C22" s="21" t="s">
        <v>3</v>
      </c>
      <c r="D22" s="21" t="s">
        <v>4</v>
      </c>
      <c r="E22" s="17" t="s">
        <v>5</v>
      </c>
      <c r="F22" s="21" t="s">
        <v>6</v>
      </c>
    </row>
    <row r="23" spans="1:6" x14ac:dyDescent="0.3">
      <c r="A23" s="14" t="s">
        <v>7</v>
      </c>
      <c r="B23" s="19"/>
      <c r="C23" s="7">
        <v>8</v>
      </c>
      <c r="D23" s="7" t="s">
        <v>8</v>
      </c>
      <c r="E23" s="2">
        <v>25</v>
      </c>
      <c r="F23" s="6">
        <f>C23*E23</f>
        <v>200</v>
      </c>
    </row>
    <row r="24" spans="1:6" x14ac:dyDescent="0.3">
      <c r="A24" s="14" t="s">
        <v>9</v>
      </c>
      <c r="B24" s="19"/>
      <c r="C24" s="7">
        <v>10</v>
      </c>
      <c r="D24" s="7" t="s">
        <v>8</v>
      </c>
      <c r="E24" s="2">
        <v>25</v>
      </c>
      <c r="F24" s="7">
        <f t="shared" ref="F24:F39" si="0">C24*E24</f>
        <v>250</v>
      </c>
    </row>
    <row r="25" spans="1:6" x14ac:dyDescent="0.3">
      <c r="A25" s="14" t="s">
        <v>10</v>
      </c>
      <c r="B25" s="19"/>
      <c r="C25" s="7">
        <v>4</v>
      </c>
      <c r="D25" s="7" t="s">
        <v>8</v>
      </c>
      <c r="E25" s="2">
        <v>25</v>
      </c>
      <c r="F25" s="7">
        <f t="shared" si="0"/>
        <v>100</v>
      </c>
    </row>
    <row r="26" spans="1:6" x14ac:dyDescent="0.3">
      <c r="A26" s="14" t="s">
        <v>11</v>
      </c>
      <c r="B26" s="19"/>
      <c r="C26" s="7">
        <v>3</v>
      </c>
      <c r="D26" s="7" t="s">
        <v>8</v>
      </c>
      <c r="E26" s="2">
        <v>25</v>
      </c>
      <c r="F26" s="7">
        <f t="shared" si="0"/>
        <v>75</v>
      </c>
    </row>
    <row r="27" spans="1:6" x14ac:dyDescent="0.3">
      <c r="A27" s="14" t="s">
        <v>12</v>
      </c>
      <c r="B27" s="19"/>
      <c r="C27" s="7">
        <v>6</v>
      </c>
      <c r="D27" s="7" t="s">
        <v>8</v>
      </c>
      <c r="E27" s="2">
        <v>25</v>
      </c>
      <c r="F27" s="7">
        <f t="shared" si="0"/>
        <v>150</v>
      </c>
    </row>
    <row r="28" spans="1:6" x14ac:dyDescent="0.3">
      <c r="A28" s="14" t="s">
        <v>13</v>
      </c>
      <c r="B28" s="19"/>
      <c r="C28" s="7">
        <v>5</v>
      </c>
      <c r="D28" s="7" t="s">
        <v>8</v>
      </c>
      <c r="E28" s="2">
        <v>25</v>
      </c>
      <c r="F28" s="7">
        <f t="shared" si="0"/>
        <v>125</v>
      </c>
    </row>
    <row r="29" spans="1:6" x14ac:dyDescent="0.3">
      <c r="A29" s="14" t="s">
        <v>14</v>
      </c>
      <c r="B29" s="19"/>
      <c r="C29" s="7">
        <v>8</v>
      </c>
      <c r="D29" s="7" t="s">
        <v>8</v>
      </c>
      <c r="E29" s="2">
        <v>25</v>
      </c>
      <c r="F29" s="7">
        <f t="shared" si="0"/>
        <v>200</v>
      </c>
    </row>
    <row r="30" spans="1:6" x14ac:dyDescent="0.3">
      <c r="A30" s="14" t="s">
        <v>15</v>
      </c>
      <c r="B30" s="19"/>
      <c r="C30" s="7">
        <v>6</v>
      </c>
      <c r="D30" s="7" t="s">
        <v>8</v>
      </c>
      <c r="E30" s="2">
        <v>25</v>
      </c>
      <c r="F30" s="7">
        <f t="shared" si="0"/>
        <v>150</v>
      </c>
    </row>
    <row r="31" spans="1:6" x14ac:dyDescent="0.3">
      <c r="A31" s="14" t="s">
        <v>16</v>
      </c>
      <c r="B31" s="19"/>
      <c r="C31" s="7">
        <v>6</v>
      </c>
      <c r="D31" s="7" t="s">
        <v>8</v>
      </c>
      <c r="E31" s="2">
        <v>25</v>
      </c>
      <c r="F31" s="7">
        <f t="shared" si="0"/>
        <v>150</v>
      </c>
    </row>
    <row r="32" spans="1:6" x14ac:dyDescent="0.3">
      <c r="A32" s="14" t="s">
        <v>17</v>
      </c>
      <c r="B32" s="19"/>
      <c r="C32" s="7">
        <v>10</v>
      </c>
      <c r="D32" s="7" t="s">
        <v>18</v>
      </c>
      <c r="E32" s="2">
        <v>10</v>
      </c>
      <c r="F32" s="7">
        <f t="shared" si="0"/>
        <v>100</v>
      </c>
    </row>
    <row r="33" spans="1:6" x14ac:dyDescent="0.3">
      <c r="A33" s="14" t="s">
        <v>19</v>
      </c>
      <c r="B33" s="19"/>
      <c r="C33" s="7">
        <v>5</v>
      </c>
      <c r="D33" s="7" t="s">
        <v>8</v>
      </c>
      <c r="E33" s="2">
        <v>25</v>
      </c>
      <c r="F33" s="7">
        <f t="shared" si="0"/>
        <v>125</v>
      </c>
    </row>
    <row r="34" spans="1:6" x14ac:dyDescent="0.3">
      <c r="A34" s="14" t="s">
        <v>20</v>
      </c>
      <c r="B34" s="19"/>
      <c r="C34" s="7">
        <v>12</v>
      </c>
      <c r="D34" s="7" t="s">
        <v>8</v>
      </c>
      <c r="E34" s="2">
        <v>25</v>
      </c>
      <c r="F34" s="7">
        <f t="shared" si="0"/>
        <v>300</v>
      </c>
    </row>
    <row r="35" spans="1:6" x14ac:dyDescent="0.3">
      <c r="A35" s="14" t="s">
        <v>21</v>
      </c>
      <c r="B35" s="19"/>
      <c r="C35" s="7">
        <v>10</v>
      </c>
      <c r="D35" s="7" t="s">
        <v>8</v>
      </c>
      <c r="E35" s="2">
        <v>25</v>
      </c>
      <c r="F35" s="7">
        <f t="shared" si="0"/>
        <v>250</v>
      </c>
    </row>
    <row r="36" spans="1:6" x14ac:dyDescent="0.3">
      <c r="A36" s="14" t="s">
        <v>22</v>
      </c>
      <c r="B36" s="19"/>
      <c r="C36" s="7">
        <v>8</v>
      </c>
      <c r="D36" s="7" t="s">
        <v>8</v>
      </c>
      <c r="E36" s="2">
        <v>25</v>
      </c>
      <c r="F36" s="7">
        <f t="shared" si="0"/>
        <v>200</v>
      </c>
    </row>
    <row r="37" spans="1:6" x14ac:dyDescent="0.3">
      <c r="A37" s="14" t="s">
        <v>23</v>
      </c>
      <c r="B37" s="19"/>
      <c r="C37" s="7">
        <v>8</v>
      </c>
      <c r="D37" s="7" t="s">
        <v>8</v>
      </c>
      <c r="E37" s="2">
        <v>25</v>
      </c>
      <c r="F37" s="7">
        <f t="shared" si="0"/>
        <v>200</v>
      </c>
    </row>
    <row r="38" spans="1:6" x14ac:dyDescent="0.3">
      <c r="A38" s="14" t="s">
        <v>24</v>
      </c>
      <c r="B38" s="19"/>
      <c r="C38" s="7">
        <v>10</v>
      </c>
      <c r="D38" s="7" t="s">
        <v>8</v>
      </c>
      <c r="E38" s="2">
        <v>25</v>
      </c>
      <c r="F38" s="7">
        <f t="shared" si="0"/>
        <v>250</v>
      </c>
    </row>
    <row r="39" spans="1:6" x14ac:dyDescent="0.3">
      <c r="A39" s="15" t="s">
        <v>25</v>
      </c>
      <c r="B39" s="20"/>
      <c r="C39" s="8">
        <v>4</v>
      </c>
      <c r="D39" s="8" t="s">
        <v>8</v>
      </c>
      <c r="E39" s="4">
        <v>25</v>
      </c>
      <c r="F39" s="8">
        <f t="shared" si="0"/>
        <v>100</v>
      </c>
    </row>
    <row r="41" spans="1:6" x14ac:dyDescent="0.3">
      <c r="A41" s="12" t="s">
        <v>26</v>
      </c>
    </row>
    <row r="42" spans="1:6" x14ac:dyDescent="0.3">
      <c r="A42" s="26" t="s">
        <v>27</v>
      </c>
      <c r="B42" s="27"/>
      <c r="C42" s="26" t="s">
        <v>32</v>
      </c>
      <c r="D42" s="27"/>
      <c r="E42" s="11" t="s">
        <v>33</v>
      </c>
    </row>
    <row r="43" spans="1:6" x14ac:dyDescent="0.3">
      <c r="A43" s="13" t="s">
        <v>38</v>
      </c>
      <c r="B43" s="31"/>
      <c r="C43" s="22" t="s">
        <v>28</v>
      </c>
      <c r="D43" s="32"/>
      <c r="E43" s="24">
        <f>SUM(F23:F31,F33:F39)</f>
        <v>2825</v>
      </c>
    </row>
    <row r="44" spans="1:6" x14ac:dyDescent="0.3">
      <c r="A44" s="14" t="s">
        <v>37</v>
      </c>
      <c r="B44" s="19"/>
      <c r="C44" s="23" t="s">
        <v>29</v>
      </c>
      <c r="D44" s="28"/>
      <c r="E44" s="3">
        <f>SUM(F32)</f>
        <v>100</v>
      </c>
    </row>
    <row r="45" spans="1:6" x14ac:dyDescent="0.3">
      <c r="A45" s="14" t="s">
        <v>36</v>
      </c>
      <c r="B45" s="19"/>
      <c r="C45" s="23" t="s">
        <v>30</v>
      </c>
      <c r="D45" s="28"/>
      <c r="E45" s="3">
        <v>0</v>
      </c>
    </row>
    <row r="46" spans="1:6" x14ac:dyDescent="0.3">
      <c r="A46" s="15" t="s">
        <v>35</v>
      </c>
      <c r="B46" s="20"/>
      <c r="C46" s="25" t="s">
        <v>31</v>
      </c>
      <c r="D46" s="29"/>
      <c r="E46" s="5">
        <v>0</v>
      </c>
    </row>
    <row r="47" spans="1:6" x14ac:dyDescent="0.3">
      <c r="A47" s="33" t="s">
        <v>34</v>
      </c>
      <c r="B47" s="34"/>
      <c r="C47" s="34"/>
      <c r="D47" s="35"/>
      <c r="E47" s="30">
        <f>SUM(E43:E46)</f>
        <v>2925</v>
      </c>
    </row>
  </sheetData>
  <mergeCells count="29">
    <mergeCell ref="A42:B42"/>
    <mergeCell ref="C42:D42"/>
    <mergeCell ref="A45:B45"/>
    <mergeCell ref="A46:B46"/>
    <mergeCell ref="A47:D47"/>
    <mergeCell ref="C43:D43"/>
    <mergeCell ref="C44:D44"/>
    <mergeCell ref="C45:D45"/>
    <mergeCell ref="C46:D46"/>
    <mergeCell ref="A43:B43"/>
    <mergeCell ref="A44:B44"/>
    <mergeCell ref="A34:B34"/>
    <mergeCell ref="A35:B35"/>
    <mergeCell ref="A36:B36"/>
    <mergeCell ref="A37:B37"/>
    <mergeCell ref="A38:B38"/>
    <mergeCell ref="A39:B39"/>
    <mergeCell ref="A28:B28"/>
    <mergeCell ref="A29:B29"/>
    <mergeCell ref="A30:B30"/>
    <mergeCell ref="A31:B31"/>
    <mergeCell ref="A32:B32"/>
    <mergeCell ref="A33:B33"/>
    <mergeCell ref="A22:B22"/>
    <mergeCell ref="A23:B23"/>
    <mergeCell ref="A24:B24"/>
    <mergeCell ref="A25:B25"/>
    <mergeCell ref="A26:B26"/>
    <mergeCell ref="A27:B2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KHOO ZHEN XIAN</dc:creator>
  <cp:lastModifiedBy>KHOO ZHEN XIAN</cp:lastModifiedBy>
  <dcterms:created xsi:type="dcterms:W3CDTF">2025-11-10T02:28:09Z</dcterms:created>
  <dcterms:modified xsi:type="dcterms:W3CDTF">2025-11-10T02:45:51Z</dcterms:modified>
</cp:coreProperties>
</file>